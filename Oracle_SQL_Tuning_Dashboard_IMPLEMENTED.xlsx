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HASE_1_IDENTIFICATION" sheetId="2" state="visible" r:id="rId2"/>
    <sheet xmlns:r="http://schemas.openxmlformats.org/officeDocument/2006/relationships" name="PHASE_2_ENVIRONMENT" sheetId="3" state="visible" r:id="rId3"/>
    <sheet xmlns:r="http://schemas.openxmlformats.org/officeDocument/2006/relationships" name="PHASE_3_EXEC_PLAN" sheetId="4" state="visible" r:id="rId4"/>
    <sheet xmlns:r="http://schemas.openxmlformats.org/officeDocument/2006/relationships" name="PHASE_4_STATS" sheetId="5" state="visible" r:id="rId5"/>
    <sheet xmlns:r="http://schemas.openxmlformats.org/officeDocument/2006/relationships" name="PHASE_5_INDEXES" sheetId="6" state="visible" r:id="rId6"/>
    <sheet xmlns:r="http://schemas.openxmlformats.org/officeDocument/2006/relationships" name="PHASE_6_SQL_REWRITE" sheetId="7" state="visible" r:id="rId7"/>
    <sheet xmlns:r="http://schemas.openxmlformats.org/officeDocument/2006/relationships" name="PHASE_7_BINDS" sheetId="8" state="visible" r:id="rId8"/>
    <sheet xmlns:r="http://schemas.openxmlformats.org/officeDocument/2006/relationships" name="PHASE_8_WAITS" sheetId="9" state="visible" r:id="rId9"/>
    <sheet xmlns:r="http://schemas.openxmlformats.org/officeDocument/2006/relationships" name="PHASE_9_ADVANCED" sheetId="10" state="visible" r:id="rId10"/>
    <sheet xmlns:r="http://schemas.openxmlformats.org/officeDocument/2006/relationships" name="PHASE_10_VALIDATION" sheetId="11" state="visible" r:id="rId11"/>
    <sheet xmlns:r="http://schemas.openxmlformats.org/officeDocument/2006/relationships" name="PHASE_11_ASH_BREAKDOWN" sheetId="12" state="visible" r:id="rId12"/>
    <sheet xmlns:r="http://schemas.openxmlformats.org/officeDocument/2006/relationships" name="PHASE_12_PLAN_HISTORY" sheetId="13" state="visible" r:id="rId13"/>
    <sheet xmlns:r="http://schemas.openxmlformats.org/officeDocument/2006/relationships" name="PHASE_13_ASH_TIMELINE" sheetId="14" state="visible" r:id="rId14"/>
    <sheet xmlns:r="http://schemas.openxmlformats.org/officeDocument/2006/relationships" name="DASHBOARD" sheetId="15" state="visible" r:id="rId15"/>
    <sheet xmlns:r="http://schemas.openxmlformats.org/officeDocument/2006/relationships" name="SUMMARY_RC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666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66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Oracle SQL Tuning – Refresh All Dashboard Framework</t>
        </is>
      </c>
    </row>
    <row r="3">
      <c r="A3" t="inlineStr">
        <is>
          <t>Run shell -&gt; generate CSV -&gt; Excel Data &gt; Refresh 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ORACLE SQL TUNING DASHBOARD</t>
        </is>
      </c>
    </row>
    <row r="3">
      <c r="A3" t="inlineStr">
        <is>
          <t>SQL_ID:</t>
        </is>
      </c>
      <c r="B3">
        <f>PHASE_1_IDENTIFICATION!B2</f>
        <v/>
      </c>
      <c r="E3" t="inlineStr">
        <is>
          <t>SQL HEALTH STATUS</t>
        </is>
      </c>
    </row>
    <row r="4">
      <c r="A4" t="inlineStr">
        <is>
          <t>Executions:</t>
        </is>
      </c>
      <c r="B4">
        <f>PHASE_1_IDENTIFICATION!C2</f>
        <v/>
      </c>
    </row>
    <row r="5">
      <c r="A5" t="inlineStr">
        <is>
          <t>Avg Elapsed (sec):</t>
        </is>
      </c>
      <c r="B5">
        <f>ROUND(PHASE_1_IDENTIFICATION!D2,2)</f>
        <v/>
      </c>
      <c r="E5">
        <f>IF(MAX(PHASE_3_EXEC_PLAN!E:E)&gt;10,"CRITICAL – PLAN MIS-ESTIMATION",
IF(SUMIFS(PHASE_11_ASH_BREAKDOWN!C:C,PHASE_11_ASH_BREAKDOWN!B:B,"Cluster")
/SUM(PHASE_11_ASH_BREAKDOWN!C:C)&gt;0.30,"WARNING – RAC CONTENTION",
IF(SUMIFS(PHASE_11_ASH_BREAKDOWN!C:C,PHASE_11_ASH_BREAKDOWN!B:B,"CPU")
/SUM(PHASE_11_ASH_BREAKDOWN!C:C)&gt;0.70,"WARNING – CPU BOUND","HEALTHY")))</f>
        <v/>
      </c>
    </row>
  </sheetData>
  <conditionalFormatting sqref="E5">
    <cfRule type="expression" priority="1" dxfId="0">
      <formula>ISNUMBER(SEARCH("CRITICAL",E5))</formula>
    </cfRule>
    <cfRule type="expression" priority="2" dxfId="1">
      <formula>ISNUMBER(SEARCH("WARNING",E5))</formula>
    </cfRule>
    <cfRule type="expression" priority="3" dxfId="2">
      <formula>ISNUMBER(SEARCH("HEALTHY",E5))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&amp; RECOMMENDATION</t>
        </is>
      </c>
    </row>
    <row r="3">
      <c r="A3" t="inlineStr">
        <is>
          <t>ROOT CAUSE</t>
        </is>
      </c>
    </row>
    <row r="4">
      <c r="A4">
        <f>IF(MAX(PHASE_3_EXEC_PLAN!E:E)&gt;10,"Optimizer mis-estimation due to incorrect or stale statistics",
IF(SUMIFS(PHASE_11_ASH_BREAKDOWN!C:C,PHASE_11_ASH_BREAKDOWN!B:B,"Cluster")
/SUM(PHASE_11_ASH_BREAKDOWN!C:C)&gt;0.30,"RAC contention driven by cross-instance block access",
IF(SUMIFS(PHASE_11_ASH_BREAKDOWN!C:C,PHASE_11_ASH_BREAKDOWN!B:B,"CPU")
/SUM(PHASE_11_ASH_BREAKDOWN!C:C)&gt;0.70,"CPU-bound workload; system saturation dominates",
"No dominant SQL-level issue detected")))</f>
        <v/>
      </c>
    </row>
    <row r="6">
      <c r="A6" t="inlineStr">
        <is>
          <t>RECOMMENDATION</t>
        </is>
      </c>
    </row>
    <row r="7">
      <c r="A7">
        <f>IF(MAX(PHASE_3_EXEC_PLAN!E:E)&gt;10,"Gather table and index statistics. Re-validate execution plan before adding indexes or SQL Profiles.",
IF(SUMIFS(PHASE_11_ASH_BREAKDOWN!C:C,PHASE_11_ASH_BREAKDOWN!B:B,"Cluster")
/SUM(PHASE_11_ASH_BREAKDOWN!C:C)&gt;0.30,"Review RAC service placement, instance affinity, and GC waits.",
IF(SUMIFS(PHASE_11_ASH_BREAKDOWN!C:C,PHASE_11_ASH_BREAKDOWN!B:B,"CPU")
/SUM(PHASE_11_ASH_BREAKDOWN!C:C)&gt;0.70,"Reduce CPU pressure; SQL tuning gains will be marginal.",
"No tuning action required. Continue monitoring.")))</f>
        <v/>
      </c>
    </row>
    <row r="9">
      <c r="A9" t="inlineStr">
        <is>
          <t>DO NOT</t>
        </is>
      </c>
    </row>
    <row r="10">
      <c r="A10">
        <f>IF(MAX(PHASE_3_EXEC_PLAN!E:E)&gt;10,"Do NOT add hints, indexes, or SQL Profiles before fixing statistics.",
IF(COUNTA(UNIQUE(PHASE_12_PLAN_HISTORY!B:B))&gt;1,"Do NOT force a plan until plan instability is resolved.","No restrictions."))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2026-02-06T04:07:42Z</dcterms:created>
  <dcterms:modified xmlns:dcterms="http://purl.org/dc/terms/" xmlns:xsi="http://www.w3.org/2001/XMLSchema-instance" xsi:type="dcterms:W3CDTF">2026-02-06T04:07:42Z</dcterms:modified>
</cp:coreProperties>
</file>